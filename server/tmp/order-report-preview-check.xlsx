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3"/>
    <sheet sheetId="2" name="Pricing Engin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5" width="32" customWidth="1"/>
    <col min="6" max="6" width="18" customWidth="1"/>
    <col min="7" max="7" width="12" customWidth="1"/>
    <col min="8" max="8" width="14" customWidth="1"/>
    <col min="9" max="9" width="30" customWidth="1"/>
    <col min="10" max="10" width="16" customWidth="1"/>
    <col min="11" max="11" width="18" customWidth="1"/>
    <col min="12" max="13" width="22" customWidth="1"/>
    <col min="14" max="15" width="18" customWidth="1"/>
    <col min="16" max="16" width="16" customWidth="1"/>
    <col min="17" max="17" width="24" customWidth="1"/>
    <col min="18" max="19" width="18" customWidth="1"/>
  </cols>
  <sheetData>
    <row r="1" spans="1:19" x14ac:dyDescent="0.25">
      <c r="A1" s="1" t="str">
        <v>Order ID</v>
      </c>
      <c r="B1" s="1" t="str">
        <v>Product ID</v>
      </c>
      <c r="C1" s="1" t="str">
        <v>SKU</v>
      </c>
      <c r="D1" s="1" t="str">
        <v>HSN Code</v>
      </c>
      <c r="E1" s="1" t="str">
        <v>Product Name</v>
      </c>
      <c r="F1" s="1" t="str">
        <v>Variant Name</v>
      </c>
      <c r="G1" s="1" t="str">
        <v>Quantity</v>
      </c>
      <c r="H1" s="1" t="str">
        <v>Price</v>
      </c>
      <c r="I1" s="1" t="str">
        <v>Product Paid Amount (After Discount)</v>
      </c>
      <c r="J1" s="1" t="str">
        <v>Coupon Code</v>
      </c>
      <c r="K1" s="1" t="str">
        <v>Coupon Discount (Rs)</v>
      </c>
      <c r="L1" s="1" t="str">
        <v>Membership Discount (Rs)</v>
      </c>
      <c r="M1" s="1" t="str">
        <v>Influencer Discount (Rs)</v>
      </c>
      <c r="N1" s="1" t="str">
        <v>Coin Discount (Rs)</v>
      </c>
      <c r="O1" s="1" t="str">
        <v>Total Discount (Rs)</v>
      </c>
      <c r="P1" s="1" t="str">
        <v>Order Status</v>
      </c>
      <c r="Q1" s="1" t="str">
        <v>Customer</v>
      </c>
      <c r="R1" s="1" t="str">
        <v>Order Date</v>
      </c>
      <c r="S1" s="1" t="str">
        <v>Delivery Status</v>
      </c>
    </row>
    <row r="2" spans="1:19" x14ac:dyDescent="0.25">
      <c r="A2" t="str">
        <v>H1G-2526/0007</v>
      </c>
      <c r="B2" t="str">
        <v>69901a2b1f2d765597e1e511</v>
      </c>
      <c r="C2" t="str">
        <v>N/A</v>
      </c>
      <c r="D2" t="str">
        <v>200811</v>
      </c>
      <c r="E2" t="str">
        <v>Extra Crunchy peanut Butter</v>
      </c>
      <c r="F2" t="str">
        <v/>
      </c>
      <c r="G2">
        <v>1</v>
      </c>
      <c r="H2">
        <v>6</v>
      </c>
      <c r="I2">
        <v>0</v>
      </c>
      <c r="J2" t="str">
        <v>WELCOME10</v>
      </c>
      <c r="K2">
        <v>2.86</v>
      </c>
      <c r="L2">
        <v>0</v>
      </c>
      <c r="M2">
        <v>0</v>
      </c>
      <c r="N2">
        <v>0</v>
      </c>
      <c r="O2">
        <v>2.86</v>
      </c>
      <c r="P2" t="str">
        <v>Confirmed</v>
      </c>
      <c r="Q2" t="str">
        <v>PRIYANKA</v>
      </c>
      <c r="R2" t="str">
        <v>2026-03-10</v>
      </c>
      <c r="S2" t="str">
        <v>delivered</v>
      </c>
    </row>
    <row r="3" spans="1:19" x14ac:dyDescent="0.25">
      <c r="A3" t="str">
        <v>H1G-2526/0006</v>
      </c>
      <c r="B3" t="str">
        <v>699dca97931ce0ec13a8f748</v>
      </c>
      <c r="C3" t="str">
        <v>7023842858885</v>
      </c>
      <c r="D3" t="str">
        <v>200811</v>
      </c>
      <c r="E3" t="str">
        <v>Choco Millet Crisp Peanut Butter</v>
      </c>
      <c r="F3" t="str">
        <v/>
      </c>
      <c r="G3">
        <v>1</v>
      </c>
      <c r="H3">
        <v>399</v>
      </c>
      <c r="I3">
        <v>354.67</v>
      </c>
      <c r="J3" t="str">
        <v/>
      </c>
      <c r="K3">
        <v>0</v>
      </c>
      <c r="L3">
        <v>0</v>
      </c>
      <c r="M3">
        <v>38</v>
      </c>
      <c r="N3">
        <v>0</v>
      </c>
      <c r="O3">
        <v>38</v>
      </c>
      <c r="P3" t="str">
        <v>RTO</v>
      </c>
      <c r="Q3" t="str">
        <v>Mahendra</v>
      </c>
      <c r="R3" t="str">
        <v>2026-03-10</v>
      </c>
      <c r="S3" t="str">
        <v>delivered</v>
      </c>
    </row>
    <row r="4" spans="1:19" x14ac:dyDescent="0.25">
      <c r="A4" t="str">
        <v>H1G-2526/0005</v>
      </c>
      <c r="B4" t="str">
        <v>69901a2b1f2d765597e1e511</v>
      </c>
      <c r="C4" t="str">
        <v>N/A</v>
      </c>
      <c r="D4" t="str">
        <v>200811</v>
      </c>
      <c r="E4" t="str">
        <v>Extra Crunchy peanut Butter</v>
      </c>
      <c r="F4" t="str">
        <v/>
      </c>
      <c r="G4">
        <v>1</v>
      </c>
      <c r="H4">
        <v>6</v>
      </c>
      <c r="I4">
        <v>5.33</v>
      </c>
      <c r="J4" t="str">
        <v/>
      </c>
      <c r="K4">
        <v>0</v>
      </c>
      <c r="L4">
        <v>0</v>
      </c>
      <c r="M4">
        <v>0.57</v>
      </c>
      <c r="N4">
        <v>0</v>
      </c>
      <c r="O4">
        <v>0.57</v>
      </c>
      <c r="P4" t="str">
        <v>RTO</v>
      </c>
      <c r="Q4" t="str">
        <v>piyush</v>
      </c>
      <c r="R4" t="str">
        <v>2026-03-10</v>
      </c>
      <c r="S4" t="str">
        <v>delivered</v>
      </c>
    </row>
    <row r="5" spans="1:19" x14ac:dyDescent="0.25">
      <c r="A5" t="str">
        <v>H1G-2526/0004</v>
      </c>
      <c r="B5" t="str">
        <v>69901a2b1f2d765597e1e511</v>
      </c>
      <c r="C5" t="str">
        <v>N/A</v>
      </c>
      <c r="D5" t="str">
        <v>200811</v>
      </c>
      <c r="E5" t="str">
        <v>Extra Crunchy peanut Butter</v>
      </c>
      <c r="F5" t="str">
        <v/>
      </c>
      <c r="G5">
        <v>1</v>
      </c>
      <c r="H5">
        <v>6</v>
      </c>
      <c r="I5">
        <v>5.33</v>
      </c>
      <c r="J5" t="str">
        <v/>
      </c>
      <c r="K5">
        <v>0</v>
      </c>
      <c r="L5">
        <v>0</v>
      </c>
      <c r="M5">
        <v>0.57</v>
      </c>
      <c r="N5">
        <v>0</v>
      </c>
      <c r="O5">
        <v>0.57</v>
      </c>
      <c r="P5" t="str">
        <v>RTO</v>
      </c>
      <c r="Q5" t="str">
        <v>Sagar Agrawal</v>
      </c>
      <c r="R5" t="str">
        <v>2026-03-10</v>
      </c>
      <c r="S5" t="str">
        <v>delivered</v>
      </c>
    </row>
    <row r="6" spans="1:19" x14ac:dyDescent="0.25">
      <c r="A6" t="str">
        <v>H1G-2526/0002</v>
      </c>
      <c r="B6" t="str">
        <v>6973b57bce9eb5ada79a3d3a</v>
      </c>
      <c r="C6" t="str">
        <v>N/A</v>
      </c>
      <c r="D6" t="str">
        <v>200811</v>
      </c>
      <c r="E6" t="str">
        <v>Classic Creamy - Large Pack</v>
      </c>
      <c r="F6" t="str">
        <v/>
      </c>
      <c r="G6">
        <v>1</v>
      </c>
      <c r="H6">
        <v>549</v>
      </c>
      <c r="I6">
        <v>549</v>
      </c>
      <c r="J6" t="str">
        <v/>
      </c>
      <c r="K6">
        <v>0</v>
      </c>
      <c r="L6">
        <v>0</v>
      </c>
      <c r="M6">
        <v>0</v>
      </c>
      <c r="N6">
        <v>0</v>
      </c>
      <c r="O6">
        <v>0</v>
      </c>
      <c r="P6" t="str">
        <v>Confirmed</v>
      </c>
      <c r="Q6" t="str">
        <v>Guest</v>
      </c>
      <c r="R6" t="str">
        <v>2026-02-07</v>
      </c>
      <c r="S6" t="str">
        <v>shipment_created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2" customWidth="1"/>
    <col min="6" max="6" width="26" customWidth="1"/>
    <col min="7" max="7" width="18" customWidth="1"/>
    <col min="8" max="9" width="10" customWidth="1"/>
    <col min="10" max="10" width="18" customWidth="1"/>
    <col min="11" max="11" width="20" customWidth="1"/>
    <col min="12" max="12" width="18" customWidth="1"/>
    <col min="13" max="13" width="22" customWidth="1"/>
    <col min="14" max="15" width="12" customWidth="1"/>
    <col min="16" max="16" width="22" customWidth="1"/>
    <col min="17" max="17" width="28" customWidth="1"/>
    <col min="18" max="18" width="22" customWidth="1"/>
    <col min="19" max="20" width="14" customWidth="1"/>
    <col min="21" max="21" width="16" customWidth="1"/>
    <col min="22" max="22" width="34" customWidth="1"/>
    <col min="23" max="24" width="22" customWidth="1"/>
    <col min="25" max="25" width="18" customWidth="1"/>
    <col min="26" max="26" width="12" customWidth="1"/>
    <col min="27" max="28" width="10" customWidth="1"/>
    <col min="29" max="29" width="12" customWidth="1"/>
    <col min="30" max="30" width="14" customWidth="1"/>
  </cols>
  <sheetData>
    <row r="1" spans="1:30" x14ac:dyDescent="0.25">
      <c r="A1" s="1" t="str">
        <v>Product</v>
      </c>
      <c r="B1" s="1" t="str">
        <v>Cost of Making</v>
      </c>
      <c r="C1" s="1" t="str">
        <v>Delivery Cost</v>
      </c>
      <c r="D1" s="1" t="str">
        <v>Target Profit Margin %</v>
      </c>
      <c r="E1" s="1" t="str">
        <v>Influencer Commission %</v>
      </c>
      <c r="F1" s="1" t="str">
        <v>Influencer Customer Discount %</v>
      </c>
      <c r="G1" s="1" t="str">
        <v>Coupon Discount %</v>
      </c>
      <c r="H1" s="1" t="str">
        <v>CGST %</v>
      </c>
      <c r="I1" s="1" t="str">
        <v>SGST %</v>
      </c>
      <c r="J1" s="1" t="str">
        <v>Subtotal (Product)</v>
      </c>
      <c r="K1" s="1" t="str">
        <v>Influencer Discount ₹</v>
      </c>
      <c r="L1" s="1" t="str">
        <v>Coupon Discount ₹</v>
      </c>
      <c r="M1" s="1" t="str">
        <v>Discounted Product Price</v>
      </c>
      <c r="N1" s="1" t="str">
        <v>CGST ₹</v>
      </c>
      <c r="O1" s="1" t="str">
        <v>SGST ₹</v>
      </c>
      <c r="P1" s="1" t="str">
        <v>Product Price After GST</v>
      </c>
      <c r="Q1" s="1" t="str">
        <v>Customer Price (Product + Delivery)</v>
      </c>
      <c r="R1" s="1" t="str">
        <v>Influencer Commission ₹</v>
      </c>
      <c r="S1" s="1" t="str">
        <v>Total Cost</v>
      </c>
      <c r="T1" s="1" t="str">
        <v>Actual Profit</v>
      </c>
      <c r="U1" s="1" t="str">
        <v>Actual Margin %</v>
      </c>
      <c r="V1" s="1" t="str">
        <v>Minimum Customer Price for Target Margin</v>
      </c>
      <c r="W1" s="1" t="str">
        <v>Product ID</v>
      </c>
      <c r="X1" s="1" t="str">
        <v>Variant ID</v>
      </c>
      <c r="Y1" s="1" t="str">
        <v>SKU</v>
      </c>
      <c r="Z1" s="1" t="str">
        <v>HSN Code</v>
      </c>
      <c r="AA1" s="1" t="str">
        <v>Unit</v>
      </c>
      <c r="AB1" s="1" t="str">
        <v>Weight</v>
      </c>
      <c r="AC1" s="1" t="str">
        <v>MRP</v>
      </c>
      <c r="AD1" s="1" t="str">
        <v>Selling Price</v>
      </c>
    </row>
    <row r="2" spans="1:30" x14ac:dyDescent="0.25">
      <c r="A2" t="str">
        <v>Extra Crunchy peanut Butter</v>
      </c>
      <c r="B2" t="str">
        <v/>
      </c>
      <c r="C2">
        <v>80</v>
      </c>
      <c r="D2" t="str">
        <v/>
      </c>
      <c r="E2">
        <v>9.98</v>
      </c>
      <c r="F2">
        <v>10</v>
      </c>
      <c r="G2" t="str">
        <v/>
      </c>
      <c r="H2">
        <v>2.5</v>
      </c>
      <c r="I2">
        <v>2.5</v>
      </c>
      <c r="J2">
        <v>6</v>
      </c>
      <c r="K2">
        <f>IFERROR(J2*(F2/100),0)</f>
      </c>
      <c r="L2">
        <f>IFERROR(J2*(G2/100),0)</f>
      </c>
      <c r="M2">
        <f>IFERROR(J2-K2-L2,0)</f>
      </c>
      <c r="N2">
        <f>IFERROR(M2*(H2/100),0)</f>
      </c>
      <c r="O2">
        <f>IFERROR(M2*(I2/100),0)</f>
      </c>
      <c r="P2">
        <f>IFERROR(M2+N2+O2,0)</f>
      </c>
      <c r="Q2">
        <f>IFERROR(P2+C2,0)</f>
      </c>
      <c r="R2">
        <f>IFERROR(Q2*(E2/100),0)</f>
      </c>
      <c r="S2">
        <f>IFERROR(B2+C2+R2,0)</f>
      </c>
      <c r="T2">
        <f>IFERROR(Q2-S2,0)</f>
      </c>
      <c r="U2">
        <f>IFERROR(IF(Q2=0,0,T2/Q2*100),0)</f>
      </c>
      <c r="V2">
        <f>IFERROR(IF(D2=0,0,S2/(1-D2/100)),0)</f>
      </c>
      <c r="W2" t="str">
        <v>69901a2b1f2d765597e1e511</v>
      </c>
      <c r="X2" t="str">
        <v/>
      </c>
      <c r="Y2" t="str">
        <v/>
      </c>
      <c r="Z2" t="str">
        <v>200811</v>
      </c>
      <c r="AA2" t="str">
        <v/>
      </c>
      <c r="AB2" t="str">
        <v/>
      </c>
      <c r="AC2" t="str">
        <v/>
      </c>
      <c r="AD2">
        <v>6</v>
      </c>
    </row>
    <row r="3" spans="1:30" x14ac:dyDescent="0.25">
      <c r="A3" t="str">
        <v>Choco Millet Crisp Peanut Butter - 500g</v>
      </c>
      <c r="B3" t="str">
        <v/>
      </c>
      <c r="C3">
        <v>80</v>
      </c>
      <c r="D3" t="str">
        <v/>
      </c>
      <c r="E3">
        <v>10</v>
      </c>
      <c r="F3">
        <v>10</v>
      </c>
      <c r="G3" t="str">
        <v/>
      </c>
      <c r="H3">
        <v>2.5</v>
      </c>
      <c r="I3">
        <v>2.5</v>
      </c>
      <c r="J3">
        <v>399</v>
      </c>
      <c r="K3">
        <f>IFERROR(J3*(F3/100),0)</f>
      </c>
      <c r="L3">
        <f>IFERROR(J3*(G3/100),0)</f>
      </c>
      <c r="M3">
        <f>IFERROR(J3-K3-L3,0)</f>
      </c>
      <c r="N3">
        <f>IFERROR(M3*(H3/100),0)</f>
      </c>
      <c r="O3">
        <f>IFERROR(M3*(I3/100),0)</f>
      </c>
      <c r="P3">
        <f>IFERROR(M3+N3+O3,0)</f>
      </c>
      <c r="Q3">
        <f>IFERROR(P3+C3,0)</f>
      </c>
      <c r="R3">
        <f>IFERROR(Q3*(E3/100),0)</f>
      </c>
      <c r="S3">
        <f>IFERROR(B3+C3+R3,0)</f>
      </c>
      <c r="T3">
        <f>IFERROR(Q3-S3,0)</f>
      </c>
      <c r="U3">
        <f>IFERROR(IF(Q3=0,0,T3/Q3*100),0)</f>
      </c>
      <c r="V3">
        <f>IFERROR(IF(D3=0,0,S3/(1-D3/100)),0)</f>
      </c>
      <c r="W3" t="str">
        <v>699dca97931ce0ec13a8f748</v>
      </c>
      <c r="X3" t="str">
        <v/>
      </c>
      <c r="Y3" t="str">
        <v>7023842858885</v>
      </c>
      <c r="Z3" t="str">
        <v>200811</v>
      </c>
      <c r="AA3" t="str">
        <v>g</v>
      </c>
      <c r="AB3">
        <v>500</v>
      </c>
      <c r="AC3">
        <v>499</v>
      </c>
      <c r="AD3">
        <v>399</v>
      </c>
    </row>
    <row r="4" spans="1:30" x14ac:dyDescent="0.25">
      <c r="A4" t="str">
        <v>Classic Creamy - Large Pack</v>
      </c>
      <c r="B4" t="str">
        <v/>
      </c>
      <c r="C4">
        <v>80</v>
      </c>
      <c r="D4" t="str">
        <v/>
      </c>
      <c r="E4" t="str">
        <v/>
      </c>
      <c r="F4" t="str">
        <v/>
      </c>
      <c r="G4" t="str">
        <v/>
      </c>
      <c r="H4">
        <v>2.5</v>
      </c>
      <c r="I4">
        <v>2.5</v>
      </c>
      <c r="J4">
        <v>549</v>
      </c>
      <c r="K4">
        <f>IFERROR(J4*(F4/100),0)</f>
      </c>
      <c r="L4">
        <f>IFERROR(J4*(G4/100),0)</f>
      </c>
      <c r="M4">
        <f>IFERROR(J4-K4-L4,0)</f>
      </c>
      <c r="N4">
        <f>IFERROR(M4*(H4/100),0)</f>
      </c>
      <c r="O4">
        <f>IFERROR(M4*(I4/100),0)</f>
      </c>
      <c r="P4">
        <f>IFERROR(M4+N4+O4,0)</f>
      </c>
      <c r="Q4">
        <f>IFERROR(P4+C4,0)</f>
      </c>
      <c r="R4">
        <f>IFERROR(Q4*(E4/100),0)</f>
      </c>
      <c r="S4">
        <f>IFERROR(B4+C4+R4,0)</f>
      </c>
      <c r="T4">
        <f>IFERROR(Q4-S4,0)</f>
      </c>
      <c r="U4">
        <f>IFERROR(IF(Q4=0,0,T4/Q4*100),0)</f>
      </c>
      <c r="V4">
        <f>IFERROR(IF(D4=0,0,S4/(1-D4/100)),0)</f>
      </c>
      <c r="W4" t="str">
        <v>6973b57bce9eb5ada79a3d3a</v>
      </c>
      <c r="X4" t="str">
        <v/>
      </c>
      <c r="Y4" t="str">
        <v/>
      </c>
      <c r="Z4" t="str">
        <v>200811</v>
      </c>
      <c r="AA4" t="str">
        <v/>
      </c>
      <c r="AB4" t="str">
        <v/>
      </c>
      <c r="AC4" t="str">
        <v/>
      </c>
      <c r="AD4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Report</vt:lpstr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2026-03-27T10:36:33Z</dcterms:created>
  <dcterms:modified xsi:type="dcterms:W3CDTF">2026-03-27T10:36:33Z</dcterms:modified>
</cp:coreProperties>
</file>